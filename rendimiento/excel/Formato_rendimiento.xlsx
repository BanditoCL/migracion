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xampp\htdocs\sistema.metalraidperu.com\rendimiento\excel\"/>
    </mc:Choice>
  </mc:AlternateContent>
  <xr:revisionPtr revIDLastSave="0" documentId="13_ncr:1_{6A693166-2D6B-4850-90F8-3BDB15C029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Política" sheetId="5" r:id="rId2"/>
  </sheets>
  <definedNames>
    <definedName name="_xlnm.Print_Area" localSheetId="0">Hoja1!$A$1:$J$59</definedName>
    <definedName name="_xlnm.Print_Area" localSheetId="1">Política!$A$3:$H$44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  <c r="I45" i="1"/>
  <c r="I40" i="1"/>
  <c r="I29" i="1"/>
  <c r="I23" i="1"/>
  <c r="I13" i="1"/>
  <c r="H10" i="1"/>
  <c r="A43" i="1"/>
  <c r="A44" i="1" s="1"/>
  <c r="A48" i="1" s="1"/>
  <c r="H49" i="1" l="1"/>
  <c r="H50" i="1" s="1"/>
  <c r="D52" i="1" l="1"/>
  <c r="I52" i="1"/>
  <c r="A16" i="1" l="1"/>
  <c r="A17" i="1" s="1"/>
  <c r="A18" i="1" s="1"/>
  <c r="A19" i="1" s="1"/>
  <c r="A20" i="1" s="1"/>
  <c r="A21" i="1" s="1"/>
  <c r="A22" i="1" s="1"/>
  <c r="A26" i="1" l="1"/>
  <c r="A27" i="1" s="1"/>
  <c r="A28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<sst xmlns="http://schemas.openxmlformats.org/spreadsheetml/2006/main" count="54" uniqueCount="33">
  <si>
    <t>FECHA</t>
  </si>
  <si>
    <t xml:space="preserve">PERSONA QUE ENTREGÓ </t>
  </si>
  <si>
    <t xml:space="preserve">MONTO </t>
  </si>
  <si>
    <t>TOTAL</t>
  </si>
  <si>
    <t>ENTREGA DE DINERO  (INGRESOS)</t>
  </si>
  <si>
    <t>RENDIMIENTO DE COMPRAS Y GASTOS (EGRESOS)</t>
  </si>
  <si>
    <t>Nº</t>
  </si>
  <si>
    <t xml:space="preserve">FACTURAS: </t>
  </si>
  <si>
    <t>OT</t>
  </si>
  <si>
    <t xml:space="preserve">EMPRESA </t>
  </si>
  <si>
    <t>N° COMPROBANTE</t>
  </si>
  <si>
    <t xml:space="preserve">BOLETAS: </t>
  </si>
  <si>
    <t xml:space="preserve">PASAJES: </t>
  </si>
  <si>
    <t>CLIENTE</t>
  </si>
  <si>
    <t>PARTIDA</t>
  </si>
  <si>
    <t>LLEGADA</t>
  </si>
  <si>
    <t>PERSONA QUE AUTORIZÓ</t>
  </si>
  <si>
    <t>SUB-TOTAL</t>
  </si>
  <si>
    <t>FIRMA</t>
  </si>
  <si>
    <t>GASTOS SIN COMPROBANTE</t>
  </si>
  <si>
    <t>PERSONA</t>
  </si>
  <si>
    <t>DESCRIPCIÓN</t>
  </si>
  <si>
    <t>POR RENDIR (entrega de dinero a otros colaboradores)</t>
  </si>
  <si>
    <t>PERSONA RESPONSABLE:</t>
  </si>
  <si>
    <t>FECHA:</t>
  </si>
  <si>
    <t>SALDO RESTANTE</t>
  </si>
  <si>
    <t>SALDO A FAVOR MRP</t>
  </si>
  <si>
    <t>SALDO A FAVOR PERSONAL</t>
  </si>
  <si>
    <t>(colocar P si es próximo rendimiento o C si es cancelado)</t>
  </si>
  <si>
    <t>N°</t>
  </si>
  <si>
    <t>c</t>
  </si>
  <si>
    <r>
      <t xml:space="preserve">  NOTA Y OBSERVACIONES:</t>
    </r>
    <r>
      <rPr>
        <sz val="11"/>
        <rFont val="Calibri"/>
        <family val="2"/>
        <scheme val="minor"/>
      </rPr>
      <t xml:space="preserve"> </t>
    </r>
  </si>
  <si>
    <t>TOTAL 
(FACTURAS + BOLETA + PASAJES + GASTOS SIN COMPROBANTES + por rendir)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</si>
</sst>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S/&quot;\ * #,##0.00_-;\-&quot;S/&quot;\ * #,##0.00_-;_-&quot;S/&quot;\ * &quot;-&quot;??_-;_-@_-"/>
    <numFmt numFmtId="165" formatCode="&quot;S/&quot;\ #,##0.00"/>
  </numFmts>
  <fonts count="20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1" xfId="0" applyFont="1" applyBorder="1" applyAlignment="1">
      <alignment vertical="center"/>
    </xf>
    <xf numFmtId="0" fontId="7" fillId="0" borderId="0" xfId="0" applyFont="1"/>
    <xf numFmtId="0" fontId="7" fillId="0" borderId="12" xfId="0" applyFont="1" applyBorder="1"/>
    <xf numFmtId="0" fontId="9" fillId="3" borderId="1" xfId="0" applyFont="1" applyFill="1" applyBorder="1" applyAlignment="1">
      <alignment horizontal="center" vertical="center"/>
    </xf>
    <xf numFmtId="14" fontId="10" fillId="3" borderId="6" xfId="0" applyNumberFormat="1" applyFont="1" applyFill="1" applyBorder="1" applyAlignment="1">
      <alignment vertical="center"/>
    </xf>
    <xf numFmtId="14" fontId="10" fillId="3" borderId="9" xfId="0" applyNumberFormat="1" applyFont="1" applyFill="1" applyBorder="1" applyAlignment="1">
      <alignment vertical="center"/>
    </xf>
    <xf numFmtId="14" fontId="10" fillId="3" borderId="5" xfId="0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2" fillId="4" borderId="1" xfId="0" applyFont="1" applyFill="1" applyBorder="1" applyAlignment="1">
      <alignment horizontal="center"/>
    </xf>
    <xf numFmtId="0" fontId="6" fillId="5" borderId="0" xfId="0" applyFont="1" applyFill="1"/>
    <xf numFmtId="0" fontId="19" fillId="5" borderId="1" xfId="0" applyFont="1" applyFill="1" applyBorder="1"/>
    <xf numFmtId="0" fontId="6" fillId="5" borderId="1" xfId="0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center"/>
    </xf>
    <xf numFmtId="0" fontId="7" fillId="5" borderId="0" xfId="0" applyFont="1" applyFill="1"/>
    <xf numFmtId="0" fontId="6" fillId="5" borderId="1" xfId="0" applyFont="1" applyFill="1" applyBorder="1"/>
    <xf numFmtId="0" fontId="12" fillId="5" borderId="0" xfId="0" applyFont="1" applyFill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15" fillId="0" borderId="0" xfId="0" applyFont="1"/>
    <xf numFmtId="14" fontId="10" fillId="2" borderId="6" xfId="0" applyNumberFormat="1" applyFont="1" applyFill="1" applyBorder="1"/>
    <xf numFmtId="14" fontId="10" fillId="2" borderId="9" xfId="0" applyNumberFormat="1" applyFont="1" applyFill="1" applyBorder="1"/>
    <xf numFmtId="14" fontId="10" fillId="2" borderId="5" xfId="0" applyNumberFormat="1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5" xfId="0" applyNumberFormat="1" applyFont="1" applyFill="1" applyBorder="1" applyAlignment="1">
      <alignment horizontal="center" vertical="center"/>
    </xf>
    <xf numFmtId="14" fontId="10" fillId="2" borderId="6" xfId="0" applyNumberFormat="1" applyFont="1" applyFill="1" applyBorder="1" applyAlignment="1">
      <alignment horizontal="left" vertical="center"/>
    </xf>
    <xf numFmtId="14" fontId="10" fillId="2" borderId="9" xfId="0" applyNumberFormat="1" applyFont="1" applyFill="1" applyBorder="1" applyAlignment="1">
      <alignment horizontal="left" vertical="center"/>
    </xf>
    <xf numFmtId="14" fontId="10" fillId="2" borderId="5" xfId="0" applyNumberFormat="1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3" fillId="0" borderId="12" xfId="0" applyFont="1" applyBorder="1" applyAlignment="1">
      <alignment horizontal="center" wrapText="1"/>
    </xf>
    <xf numFmtId="0" fontId="7" fillId="0" borderId="12" xfId="0" applyFont="1" applyBorder="1"/>
    <xf numFmtId="0" fontId="7" fillId="2" borderId="8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6" fillId="0" borderId="8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5" fontId="11" fillId="2" borderId="6" xfId="0" applyNumberFormat="1" applyFont="1" applyFill="1" applyBorder="1" applyAlignment="1">
      <alignment horizontal="center" vertical="center"/>
    </xf>
    <xf numFmtId="165" fontId="11" fillId="2" borderId="5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5" fontId="12" fillId="2" borderId="6" xfId="0" applyNumberFormat="1" applyFont="1" applyFill="1" applyBorder="1" applyAlignment="1">
      <alignment horizontal="center" vertical="center"/>
    </xf>
    <xf numFmtId="165" fontId="12" fillId="2" borderId="5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/>
    </xf>
    <xf numFmtId="165" fontId="7" fillId="2" borderId="9" xfId="0" applyNumberFormat="1" applyFont="1" applyFill="1" applyBorder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165" fontId="6" fillId="0" borderId="7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18" fillId="3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5" xfId="0" applyNumberFormat="1" applyFont="1" applyFill="1" applyBorder="1" applyAlignment="1">
      <alignment horizontal="center" vertical="center"/>
    </xf>
    <xf numFmtId="165" fontId="14" fillId="3" borderId="6" xfId="0" applyNumberFormat="1" applyFont="1" applyFill="1" applyBorder="1" applyAlignment="1">
      <alignment horizontal="center" vertical="center"/>
    </xf>
    <xf numFmtId="165" fontId="14" fillId="3" borderId="5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/>
    </xf>
    <xf numFmtId="165" fontId="14" fillId="2" borderId="6" xfId="0" applyNumberFormat="1" applyFont="1" applyFill="1" applyBorder="1" applyAlignment="1">
      <alignment horizontal="center" vertical="center"/>
    </xf>
    <xf numFmtId="165" fontId="14" fillId="2" borderId="5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4" fontId="10" fillId="3" borderId="6" xfId="0" applyNumberFormat="1" applyFont="1" applyFill="1" applyBorder="1" applyAlignment="1">
      <alignment horizontal="left" vertical="center"/>
    </xf>
    <xf numFmtId="14" fontId="10" fillId="3" borderId="9" xfId="0" applyNumberFormat="1" applyFont="1" applyFill="1" applyBorder="1" applyAlignment="1">
      <alignment horizontal="left" vertical="center"/>
    </xf>
    <xf numFmtId="14" fontId="10" fillId="3" borderId="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E6E6"/>
      <color rgb="FFE0E0E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112568</xdr:colOff>
      <xdr:row>2</xdr:row>
      <xdr:rowOff>95250</xdr:rowOff>
    </xdr:from>
    <xdr:to>
      <xdr:col>7</xdr:col>
      <xdr:colOff>204279</xdr:colOff>
      <xdr:row>27</xdr:row>
      <xdr:rowOff>124494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1675AD2-DC2A-4C74-A0CE-8F22982DC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8" y="95250"/>
          <a:ext cx="5668166" cy="4791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7"/>
  <sheetViews>
    <sheetView tabSelected="1" topLeftCell="A44" zoomScaleNormal="100" workbookViewId="0">
      <selection activeCell="M9" sqref="M9"/>
    </sheetView>
  </sheetViews>
  <sheetFormatPr baseColWidth="10" defaultRowHeight="15" x14ac:dyDescent="0.25"/>
  <cols>
    <col min="1" max="1" width="3.85546875" customWidth="1"/>
    <col min="2" max="2" width="10.7109375" customWidth="1"/>
    <col min="3" max="3" width="11.5703125" customWidth="1"/>
    <col min="4" max="4" width="14.42578125" customWidth="1"/>
    <col min="5" max="5" width="11.140625" customWidth="1"/>
    <col min="6" max="6" width="10" customWidth="1"/>
    <col min="7" max="7" width="16" customWidth="1"/>
    <col min="8" max="8" width="5.7109375" customWidth="1"/>
    <col min="9" max="9" width="6.85546875" customWidth="1"/>
    <col min="10" max="10" width="9.28515625" customWidth="1"/>
  </cols>
  <sheetData>
    <row r="1" spans="1:11" ht="0.6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</row>
    <row r="2" spans="1:11" s="39" customFormat="1" ht="18.75" customHeight="1" x14ac:dyDescent="0.25">
      <c r="A2" s="20"/>
      <c r="B2" s="61" t="s">
        <v>23</v>
      </c>
      <c r="C2" s="61"/>
      <c r="D2" s="62"/>
      <c r="E2" s="62"/>
      <c r="F2" s="38" t="s">
        <v>24</v>
      </c>
      <c r="G2" s="21"/>
      <c r="H2" s="21" t="s">
        <v>29</v>
      </c>
      <c r="I2" s="21"/>
      <c r="J2" s="21">
        <v>-2023</v>
      </c>
    </row>
    <row r="3" spans="1:11" ht="5.2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</row>
    <row r="4" spans="1:11" ht="15" customHeight="1" x14ac:dyDescent="0.25">
      <c r="A4" s="7"/>
      <c r="B4" s="63" t="s">
        <v>4</v>
      </c>
      <c r="C4" s="64"/>
      <c r="D4" s="64"/>
      <c r="E4" s="64"/>
      <c r="F4" s="64"/>
      <c r="G4" s="64"/>
      <c r="H4" s="64"/>
      <c r="I4" s="64"/>
      <c r="J4" s="65"/>
    </row>
    <row r="5" spans="1:11" s="1" customFormat="1" ht="13.9" customHeight="1" x14ac:dyDescent="0.2">
      <c r="A5" s="17" t="s">
        <v>6</v>
      </c>
      <c r="B5" s="16" t="s">
        <v>0</v>
      </c>
      <c r="C5" s="89" t="s">
        <v>1</v>
      </c>
      <c r="D5" s="90"/>
      <c r="E5" s="90"/>
      <c r="F5" s="90"/>
      <c r="G5" s="91"/>
      <c r="H5" s="83" t="s">
        <v>2</v>
      </c>
      <c r="I5" s="84"/>
      <c r="J5" s="85"/>
    </row>
    <row r="6" spans="1:11" ht="18" customHeight="1" x14ac:dyDescent="0.25">
      <c r="A6" s="8">
        <v>1</v>
      </c>
      <c r="B6" s="43"/>
      <c r="C6" s="92"/>
      <c r="D6" s="93"/>
      <c r="E6" s="93"/>
      <c r="F6" s="93"/>
      <c r="G6" s="94"/>
      <c r="H6" s="86"/>
      <c r="I6" s="87"/>
      <c r="J6" s="88"/>
    </row>
    <row r="7" spans="1:11" ht="18" customHeight="1" x14ac:dyDescent="0.25">
      <c r="A7" s="8">
        <v>2</v>
      </c>
      <c r="B7" s="44"/>
      <c r="C7" s="92"/>
      <c r="D7" s="93"/>
      <c r="E7" s="93"/>
      <c r="F7" s="93"/>
      <c r="G7" s="94"/>
      <c r="H7" s="67"/>
      <c r="I7" s="68"/>
      <c r="J7" s="69"/>
    </row>
    <row r="8" spans="1:11" ht="18" customHeight="1" x14ac:dyDescent="0.25">
      <c r="A8" s="8">
        <v>3</v>
      </c>
      <c r="B8" s="45"/>
      <c r="C8" s="92"/>
      <c r="D8" s="93"/>
      <c r="E8" s="93"/>
      <c r="F8" s="93"/>
      <c r="G8" s="94"/>
      <c r="H8" s="70"/>
      <c r="I8" s="71"/>
      <c r="J8" s="72"/>
    </row>
    <row r="9" spans="1:11" ht="18" customHeight="1" x14ac:dyDescent="0.25">
      <c r="A9" s="8">
        <v>4</v>
      </c>
      <c r="B9" s="45"/>
      <c r="C9" s="92"/>
      <c r="D9" s="93"/>
      <c r="E9" s="93"/>
      <c r="F9" s="93"/>
      <c r="G9" s="94"/>
      <c r="H9" s="70"/>
      <c r="I9" s="71"/>
      <c r="J9" s="72"/>
    </row>
    <row r="10" spans="1:11" ht="13.5" customHeight="1" x14ac:dyDescent="0.25">
      <c r="A10" s="9"/>
      <c r="B10" s="95" t="s">
        <v>3</v>
      </c>
      <c r="C10" s="95"/>
      <c r="D10" s="95"/>
      <c r="E10" s="95"/>
      <c r="F10" s="95"/>
      <c r="G10" s="95"/>
      <c r="H10" s="80">
        <f>SUM(H6:J9)</f>
        <v>0</v>
      </c>
      <c r="I10" s="81"/>
      <c r="J10" s="82"/>
    </row>
    <row r="11" spans="1:11" ht="12" customHeight="1" x14ac:dyDescent="0.25">
      <c r="A11" s="9"/>
      <c r="B11" s="7"/>
      <c r="C11" s="7"/>
      <c r="D11" s="7"/>
      <c r="E11" s="7"/>
      <c r="F11" s="7"/>
      <c r="G11" s="7"/>
      <c r="H11" s="7"/>
      <c r="I11" s="7"/>
      <c r="J11" s="7"/>
    </row>
    <row r="12" spans="1:11" x14ac:dyDescent="0.25">
      <c r="A12" s="9"/>
      <c r="B12" s="66" t="s">
        <v>5</v>
      </c>
      <c r="C12" s="66"/>
      <c r="D12" s="66"/>
      <c r="E12" s="66"/>
      <c r="F12" s="66"/>
      <c r="G12" s="66"/>
      <c r="H12" s="66"/>
      <c r="I12" s="66"/>
      <c r="J12" s="66"/>
    </row>
    <row r="13" spans="1:11" s="2" customFormat="1" ht="15" customHeight="1" x14ac:dyDescent="0.25">
      <c r="A13" s="48" t="s">
        <v>7</v>
      </c>
      <c r="B13" s="49"/>
      <c r="C13" s="49"/>
      <c r="D13" s="49"/>
      <c r="E13" s="49"/>
      <c r="F13" s="50"/>
      <c r="G13" s="76" t="s">
        <v>17</v>
      </c>
      <c r="H13" s="76"/>
      <c r="I13" s="77">
        <f>SUM(I15:J22)</f>
        <v>0</v>
      </c>
      <c r="J13" s="78"/>
      <c r="K13" s="3"/>
    </row>
    <row r="14" spans="1:11" s="4" customFormat="1" ht="15" customHeight="1" x14ac:dyDescent="0.25">
      <c r="A14" s="17" t="s">
        <v>6</v>
      </c>
      <c r="B14" s="10" t="s">
        <v>0</v>
      </c>
      <c r="C14" s="10" t="s">
        <v>8</v>
      </c>
      <c r="D14" s="51" t="s">
        <v>9</v>
      </c>
      <c r="E14" s="52"/>
      <c r="F14" s="53"/>
      <c r="G14" s="76" t="s">
        <v>10</v>
      </c>
      <c r="H14" s="76"/>
      <c r="I14" s="51" t="s">
        <v>2</v>
      </c>
      <c r="J14" s="53"/>
    </row>
    <row r="15" spans="1:11" s="2" customFormat="1" ht="18" customHeight="1" x14ac:dyDescent="0.25">
      <c r="A15" s="11">
        <v>5</v>
      </c>
      <c r="B15" s="12"/>
      <c r="C15" s="13"/>
      <c r="D15" s="54"/>
      <c r="E15" s="55"/>
      <c r="F15" s="56"/>
      <c r="G15" s="75"/>
      <c r="H15" s="75"/>
      <c r="I15" s="73"/>
      <c r="J15" s="74"/>
    </row>
    <row r="16" spans="1:11" s="2" customFormat="1" ht="18" customHeight="1" x14ac:dyDescent="0.25">
      <c r="A16" s="11">
        <f>+A15+1</f>
        <v>6</v>
      </c>
      <c r="B16" s="12"/>
      <c r="C16" s="13"/>
      <c r="D16" s="54"/>
      <c r="E16" s="55"/>
      <c r="F16" s="56"/>
      <c r="G16" s="75"/>
      <c r="H16" s="75"/>
      <c r="I16" s="73"/>
      <c r="J16" s="74"/>
    </row>
    <row r="17" spans="1:11" s="2" customFormat="1" ht="18" customHeight="1" x14ac:dyDescent="0.25">
      <c r="A17" s="11">
        <f t="shared" ref="A17:A22" si="0">+A16+1</f>
        <v>7</v>
      </c>
      <c r="B17" s="12"/>
      <c r="C17" s="13"/>
      <c r="D17" s="54"/>
      <c r="E17" s="55"/>
      <c r="F17" s="56"/>
      <c r="G17" s="75"/>
      <c r="H17" s="75"/>
      <c r="I17" s="73"/>
      <c r="J17" s="74"/>
    </row>
    <row r="18" spans="1:11" s="2" customFormat="1" ht="18" customHeight="1" x14ac:dyDescent="0.25">
      <c r="A18" s="11">
        <f t="shared" si="0"/>
        <v>8</v>
      </c>
      <c r="B18" s="12"/>
      <c r="C18" s="13"/>
      <c r="D18" s="54"/>
      <c r="E18" s="55"/>
      <c r="F18" s="56"/>
      <c r="G18" s="75"/>
      <c r="H18" s="75"/>
      <c r="I18" s="73"/>
      <c r="J18" s="74"/>
    </row>
    <row r="19" spans="1:11" s="2" customFormat="1" ht="18" customHeight="1" x14ac:dyDescent="0.25">
      <c r="A19" s="11">
        <f t="shared" si="0"/>
        <v>9</v>
      </c>
      <c r="B19" s="12"/>
      <c r="C19" s="13"/>
      <c r="D19" s="54"/>
      <c r="E19" s="55"/>
      <c r="F19" s="56"/>
      <c r="G19" s="75"/>
      <c r="H19" s="75"/>
      <c r="I19" s="73"/>
      <c r="J19" s="74"/>
    </row>
    <row r="20" spans="1:11" s="2" customFormat="1" ht="18" customHeight="1" x14ac:dyDescent="0.25">
      <c r="A20" s="11">
        <f t="shared" si="0"/>
        <v>10</v>
      </c>
      <c r="B20" s="12"/>
      <c r="C20" s="13"/>
      <c r="D20" s="54"/>
      <c r="E20" s="55"/>
      <c r="F20" s="56"/>
      <c r="G20" s="75"/>
      <c r="H20" s="75"/>
      <c r="I20" s="73"/>
      <c r="J20" s="74"/>
    </row>
    <row r="21" spans="1:11" s="2" customFormat="1" ht="18" customHeight="1" x14ac:dyDescent="0.25">
      <c r="A21" s="11">
        <f t="shared" si="0"/>
        <v>11</v>
      </c>
      <c r="B21" s="12"/>
      <c r="C21" s="13"/>
      <c r="D21" s="54"/>
      <c r="E21" s="55"/>
      <c r="F21" s="56"/>
      <c r="G21" s="75"/>
      <c r="H21" s="75"/>
      <c r="I21" s="73"/>
      <c r="J21" s="74"/>
    </row>
    <row r="22" spans="1:11" s="2" customFormat="1" ht="18" customHeight="1" x14ac:dyDescent="0.25">
      <c r="A22" s="11">
        <f t="shared" si="0"/>
        <v>12</v>
      </c>
      <c r="B22" s="12"/>
      <c r="C22" s="13"/>
      <c r="D22" s="54"/>
      <c r="E22" s="55"/>
      <c r="F22" s="56"/>
      <c r="G22" s="75"/>
      <c r="H22" s="75"/>
      <c r="I22" s="73"/>
      <c r="J22" s="74"/>
    </row>
    <row r="23" spans="1:11" s="2" customFormat="1" ht="18.75" customHeight="1" x14ac:dyDescent="0.25">
      <c r="A23" s="113" t="s">
        <v>11</v>
      </c>
      <c r="B23" s="114"/>
      <c r="C23" s="114"/>
      <c r="D23" s="114"/>
      <c r="E23" s="114"/>
      <c r="F23" s="115"/>
      <c r="G23" s="79" t="s">
        <v>17</v>
      </c>
      <c r="H23" s="79"/>
      <c r="I23" s="103">
        <f>SUM(I25:J28)</f>
        <v>0</v>
      </c>
      <c r="J23" s="104"/>
      <c r="K23" s="3"/>
    </row>
    <row r="24" spans="1:11" s="4" customFormat="1" ht="15" customHeight="1" x14ac:dyDescent="0.25">
      <c r="A24" s="22"/>
      <c r="B24" s="22" t="s">
        <v>0</v>
      </c>
      <c r="C24" s="22" t="s">
        <v>8</v>
      </c>
      <c r="D24" s="57" t="s">
        <v>9</v>
      </c>
      <c r="E24" s="58"/>
      <c r="F24" s="59"/>
      <c r="G24" s="79" t="s">
        <v>10</v>
      </c>
      <c r="H24" s="79"/>
      <c r="I24" s="57" t="s">
        <v>2</v>
      </c>
      <c r="J24" s="59"/>
    </row>
    <row r="25" spans="1:11" s="2" customFormat="1" ht="18" customHeight="1" x14ac:dyDescent="0.25">
      <c r="A25" s="11">
        <v>13</v>
      </c>
      <c r="B25" s="12"/>
      <c r="C25" s="13"/>
      <c r="D25" s="54"/>
      <c r="E25" s="55"/>
      <c r="F25" s="56"/>
      <c r="G25" s="75"/>
      <c r="H25" s="75"/>
      <c r="I25" s="46"/>
      <c r="J25" s="47"/>
    </row>
    <row r="26" spans="1:11" s="2" customFormat="1" ht="18" customHeight="1" x14ac:dyDescent="0.25">
      <c r="A26" s="11">
        <f>A25+1</f>
        <v>14</v>
      </c>
      <c r="B26" s="12"/>
      <c r="C26" s="13"/>
      <c r="D26" s="54"/>
      <c r="E26" s="55"/>
      <c r="F26" s="56"/>
      <c r="G26" s="75"/>
      <c r="H26" s="75"/>
      <c r="I26" s="46"/>
      <c r="J26" s="47"/>
    </row>
    <row r="27" spans="1:11" s="2" customFormat="1" ht="18" customHeight="1" x14ac:dyDescent="0.25">
      <c r="A27" s="11">
        <f t="shared" ref="A27:A28" si="1">A26+1</f>
        <v>15</v>
      </c>
      <c r="B27" s="12"/>
      <c r="C27" s="13"/>
      <c r="D27" s="54"/>
      <c r="E27" s="55"/>
      <c r="F27" s="56"/>
      <c r="G27" s="75"/>
      <c r="H27" s="75"/>
      <c r="I27" s="46"/>
      <c r="J27" s="47"/>
    </row>
    <row r="28" spans="1:11" s="2" customFormat="1" ht="18" customHeight="1" x14ac:dyDescent="0.25">
      <c r="A28" s="11">
        <f t="shared" si="1"/>
        <v>16</v>
      </c>
      <c r="B28" s="14"/>
      <c r="C28" s="15"/>
      <c r="D28" s="54"/>
      <c r="E28" s="55"/>
      <c r="F28" s="56"/>
      <c r="G28" s="112"/>
      <c r="H28" s="112"/>
      <c r="I28" s="46"/>
      <c r="J28" s="47"/>
    </row>
    <row r="29" spans="1:11" ht="16.5" customHeight="1" x14ac:dyDescent="0.25">
      <c r="A29" s="40" t="s">
        <v>12</v>
      </c>
      <c r="B29" s="41"/>
      <c r="C29" s="41"/>
      <c r="D29" s="41"/>
      <c r="E29" s="41"/>
      <c r="F29" s="42"/>
      <c r="G29" s="76" t="s">
        <v>17</v>
      </c>
      <c r="H29" s="76"/>
      <c r="I29" s="77">
        <f>SUM(I31:J39)</f>
        <v>0</v>
      </c>
      <c r="J29" s="78"/>
      <c r="K29" s="5"/>
    </row>
    <row r="30" spans="1:11" s="4" customFormat="1" ht="15" customHeight="1" x14ac:dyDescent="0.25">
      <c r="A30" s="10"/>
      <c r="B30" s="10" t="s">
        <v>0</v>
      </c>
      <c r="C30" s="10" t="s">
        <v>8</v>
      </c>
      <c r="D30" s="10" t="s">
        <v>13</v>
      </c>
      <c r="E30" s="51" t="s">
        <v>14</v>
      </c>
      <c r="F30" s="53"/>
      <c r="G30" s="76" t="s">
        <v>15</v>
      </c>
      <c r="H30" s="76"/>
      <c r="I30" s="51" t="s">
        <v>2</v>
      </c>
      <c r="J30" s="53"/>
    </row>
    <row r="31" spans="1:11" s="2" customFormat="1" ht="18" customHeight="1" x14ac:dyDescent="0.25">
      <c r="A31" s="11">
        <f>A28+1</f>
        <v>17</v>
      </c>
      <c r="B31" s="12"/>
      <c r="C31" s="13"/>
      <c r="D31" s="13"/>
      <c r="E31" s="54"/>
      <c r="F31" s="56"/>
      <c r="G31" s="75"/>
      <c r="H31" s="75"/>
      <c r="I31" s="73"/>
      <c r="J31" s="74"/>
    </row>
    <row r="32" spans="1:11" s="2" customFormat="1" ht="18" customHeight="1" x14ac:dyDescent="0.25">
      <c r="A32" s="11">
        <f>A31+1</f>
        <v>18</v>
      </c>
      <c r="B32" s="12"/>
      <c r="C32" s="13"/>
      <c r="D32" s="13"/>
      <c r="E32" s="54"/>
      <c r="F32" s="56"/>
      <c r="G32" s="75"/>
      <c r="H32" s="75"/>
      <c r="I32" s="73"/>
      <c r="J32" s="74"/>
    </row>
    <row r="33" spans="1:11" s="2" customFormat="1" ht="18" customHeight="1" x14ac:dyDescent="0.25">
      <c r="A33" s="11">
        <f t="shared" ref="A33:A39" si="2">A32+1</f>
        <v>19</v>
      </c>
      <c r="B33" s="12"/>
      <c r="C33" s="13"/>
      <c r="D33" s="13"/>
      <c r="E33" s="54"/>
      <c r="F33" s="56"/>
      <c r="G33" s="75"/>
      <c r="H33" s="75"/>
      <c r="I33" s="73"/>
      <c r="J33" s="74"/>
    </row>
    <row r="34" spans="1:11" s="2" customFormat="1" ht="18" customHeight="1" x14ac:dyDescent="0.25">
      <c r="A34" s="11">
        <f t="shared" si="2"/>
        <v>20</v>
      </c>
      <c r="B34" s="12"/>
      <c r="C34" s="13"/>
      <c r="D34" s="13"/>
      <c r="E34" s="54"/>
      <c r="F34" s="56"/>
      <c r="G34" s="75"/>
      <c r="H34" s="75"/>
      <c r="I34" s="73"/>
      <c r="J34" s="74"/>
    </row>
    <row r="35" spans="1:11" s="2" customFormat="1" ht="18" customHeight="1" x14ac:dyDescent="0.25">
      <c r="A35" s="11">
        <f t="shared" si="2"/>
        <v>21</v>
      </c>
      <c r="B35" s="12"/>
      <c r="C35" s="13"/>
      <c r="D35" s="13"/>
      <c r="E35" s="54"/>
      <c r="F35" s="56"/>
      <c r="G35" s="75"/>
      <c r="H35" s="75"/>
      <c r="I35" s="73"/>
      <c r="J35" s="74"/>
    </row>
    <row r="36" spans="1:11" s="2" customFormat="1" ht="18" customHeight="1" x14ac:dyDescent="0.25">
      <c r="A36" s="11">
        <f t="shared" si="2"/>
        <v>22</v>
      </c>
      <c r="B36" s="12"/>
      <c r="C36" s="13"/>
      <c r="D36" s="13"/>
      <c r="E36" s="54"/>
      <c r="F36" s="56"/>
      <c r="G36" s="75"/>
      <c r="H36" s="75"/>
      <c r="I36" s="73"/>
      <c r="J36" s="74"/>
    </row>
    <row r="37" spans="1:11" s="2" customFormat="1" ht="18" customHeight="1" x14ac:dyDescent="0.25">
      <c r="A37" s="11">
        <f t="shared" si="2"/>
        <v>23</v>
      </c>
      <c r="B37" s="12"/>
      <c r="C37" s="13"/>
      <c r="D37" s="13"/>
      <c r="E37" s="54"/>
      <c r="F37" s="56"/>
      <c r="G37" s="75"/>
      <c r="H37" s="75"/>
      <c r="I37" s="73"/>
      <c r="J37" s="74"/>
    </row>
    <row r="38" spans="1:11" s="2" customFormat="1" ht="18" customHeight="1" x14ac:dyDescent="0.25">
      <c r="A38" s="11">
        <f t="shared" si="2"/>
        <v>24</v>
      </c>
      <c r="B38" s="12"/>
      <c r="C38" s="13"/>
      <c r="D38" s="13"/>
      <c r="E38" s="54"/>
      <c r="F38" s="56"/>
      <c r="G38" s="75"/>
      <c r="H38" s="75"/>
      <c r="I38" s="73"/>
      <c r="J38" s="74"/>
    </row>
    <row r="39" spans="1:11" s="2" customFormat="1" ht="18" customHeight="1" x14ac:dyDescent="0.25">
      <c r="A39" s="11">
        <f t="shared" si="2"/>
        <v>25</v>
      </c>
      <c r="B39" s="12"/>
      <c r="C39" s="13"/>
      <c r="D39" s="13"/>
      <c r="E39" s="54"/>
      <c r="F39" s="56"/>
      <c r="G39" s="75"/>
      <c r="H39" s="75"/>
      <c r="I39" s="73"/>
      <c r="J39" s="74"/>
    </row>
    <row r="40" spans="1:11" s="2" customFormat="1" ht="15" customHeight="1" x14ac:dyDescent="0.25">
      <c r="A40" s="23" t="s">
        <v>19</v>
      </c>
      <c r="B40" s="24"/>
      <c r="C40" s="24"/>
      <c r="D40" s="24"/>
      <c r="E40" s="24"/>
      <c r="F40" s="25"/>
      <c r="G40" s="79" t="s">
        <v>17</v>
      </c>
      <c r="H40" s="79"/>
      <c r="I40" s="105">
        <f>SUM(I42:J44)</f>
        <v>0</v>
      </c>
      <c r="J40" s="106"/>
      <c r="K40" s="3"/>
    </row>
    <row r="41" spans="1:11" s="4" customFormat="1" ht="15" customHeight="1" x14ac:dyDescent="0.25">
      <c r="A41" s="22"/>
      <c r="B41" s="22" t="s">
        <v>0</v>
      </c>
      <c r="C41" s="22" t="s">
        <v>8</v>
      </c>
      <c r="D41" s="57" t="s">
        <v>21</v>
      </c>
      <c r="E41" s="58"/>
      <c r="F41" s="59"/>
      <c r="G41" s="79" t="s">
        <v>16</v>
      </c>
      <c r="H41" s="79"/>
      <c r="I41" s="57" t="s">
        <v>2</v>
      </c>
      <c r="J41" s="59"/>
    </row>
    <row r="42" spans="1:11" s="2" customFormat="1" ht="18" customHeight="1" x14ac:dyDescent="0.25">
      <c r="A42" s="11">
        <v>26</v>
      </c>
      <c r="B42" s="12"/>
      <c r="C42" s="13"/>
      <c r="D42" s="54"/>
      <c r="E42" s="55"/>
      <c r="F42" s="56"/>
      <c r="G42" s="75"/>
      <c r="H42" s="75"/>
      <c r="I42" s="46"/>
      <c r="J42" s="47"/>
    </row>
    <row r="43" spans="1:11" s="2" customFormat="1" ht="18" customHeight="1" x14ac:dyDescent="0.25">
      <c r="A43" s="11">
        <f>+A42+1</f>
        <v>27</v>
      </c>
      <c r="B43" s="12"/>
      <c r="C43" s="13"/>
      <c r="D43" s="54"/>
      <c r="E43" s="55"/>
      <c r="F43" s="56"/>
      <c r="G43" s="75"/>
      <c r="H43" s="75"/>
      <c r="I43" s="46"/>
      <c r="J43" s="47"/>
    </row>
    <row r="44" spans="1:11" s="2" customFormat="1" ht="18" customHeight="1" x14ac:dyDescent="0.25">
      <c r="A44" s="11">
        <f>+A43+1</f>
        <v>28</v>
      </c>
      <c r="B44" s="12"/>
      <c r="C44" s="13"/>
      <c r="D44" s="54"/>
      <c r="E44" s="55"/>
      <c r="F44" s="56"/>
      <c r="G44" s="75"/>
      <c r="H44" s="75"/>
      <c r="I44" s="46"/>
      <c r="J44" s="47"/>
    </row>
    <row r="45" spans="1:11" s="2" customFormat="1" ht="16.5" customHeight="1" x14ac:dyDescent="0.25">
      <c r="A45" s="48" t="s">
        <v>22</v>
      </c>
      <c r="B45" s="49"/>
      <c r="C45" s="49"/>
      <c r="D45" s="49"/>
      <c r="E45" s="49"/>
      <c r="F45" s="50"/>
      <c r="G45" s="76" t="s">
        <v>17</v>
      </c>
      <c r="H45" s="76"/>
      <c r="I45" s="109">
        <f>SUM(I47:J48)</f>
        <v>0</v>
      </c>
      <c r="J45" s="110"/>
      <c r="K45" s="3"/>
    </row>
    <row r="46" spans="1:11" s="4" customFormat="1" ht="15" customHeight="1" x14ac:dyDescent="0.25">
      <c r="A46" s="10"/>
      <c r="B46" s="10" t="s">
        <v>0</v>
      </c>
      <c r="C46" s="10" t="s">
        <v>8</v>
      </c>
      <c r="D46" s="51" t="s">
        <v>20</v>
      </c>
      <c r="E46" s="52"/>
      <c r="F46" s="53"/>
      <c r="G46" s="76" t="s">
        <v>18</v>
      </c>
      <c r="H46" s="76"/>
      <c r="I46" s="51" t="s">
        <v>2</v>
      </c>
      <c r="J46" s="53"/>
    </row>
    <row r="47" spans="1:11" s="2" customFormat="1" ht="18" customHeight="1" x14ac:dyDescent="0.25">
      <c r="A47" s="11">
        <v>29</v>
      </c>
      <c r="B47" s="12"/>
      <c r="C47" s="13"/>
      <c r="D47" s="54"/>
      <c r="E47" s="55"/>
      <c r="F47" s="56"/>
      <c r="G47" s="75"/>
      <c r="H47" s="75"/>
      <c r="I47" s="73"/>
      <c r="J47" s="74"/>
    </row>
    <row r="48" spans="1:11" s="2" customFormat="1" ht="18" customHeight="1" x14ac:dyDescent="0.25">
      <c r="A48" s="11">
        <f>A47+1</f>
        <v>30</v>
      </c>
      <c r="B48" s="12"/>
      <c r="C48" s="13"/>
      <c r="D48" s="54"/>
      <c r="E48" s="55"/>
      <c r="F48" s="56"/>
      <c r="G48" s="75"/>
      <c r="H48" s="75"/>
      <c r="I48" s="73"/>
      <c r="J48" s="74"/>
    </row>
    <row r="49" spans="1:11" s="2" customFormat="1" ht="22.5" customHeight="1" x14ac:dyDescent="0.25">
      <c r="A49" s="19"/>
      <c r="B49" s="96" t="s">
        <v>32</v>
      </c>
      <c r="C49" s="97"/>
      <c r="D49" s="97"/>
      <c r="E49" s="97"/>
      <c r="F49" s="97"/>
      <c r="G49" s="97"/>
      <c r="H49" s="98">
        <f>I45+I40+I29+I23+I13</f>
        <v>0</v>
      </c>
      <c r="I49" s="98"/>
      <c r="J49" s="99"/>
    </row>
    <row r="50" spans="1:11" ht="18" customHeight="1" x14ac:dyDescent="0.25">
      <c r="B50" s="107" t="s">
        <v>25</v>
      </c>
      <c r="C50" s="107"/>
      <c r="D50" s="107"/>
      <c r="E50" s="107"/>
      <c r="F50" s="107"/>
      <c r="G50" s="107"/>
      <c r="H50" s="100">
        <f>H10-H49</f>
        <v>0</v>
      </c>
      <c r="I50" s="100"/>
      <c r="J50" s="100"/>
      <c r="K50" s="2"/>
    </row>
    <row r="51" spans="1:11" ht="8.25" customHeight="1" x14ac:dyDescent="0.25">
      <c r="B51" s="18"/>
      <c r="C51" s="26"/>
      <c r="D51" s="18"/>
      <c r="E51" s="27"/>
      <c r="F51" s="27"/>
      <c r="G51" s="27"/>
      <c r="H51" s="27"/>
      <c r="I51" s="27"/>
      <c r="J51" s="27"/>
      <c r="K51" s="27"/>
    </row>
    <row r="52" spans="1:11" s="31" customFormat="1" x14ac:dyDescent="0.25">
      <c r="B52" s="32" t="s">
        <v>26</v>
      </c>
      <c r="C52" s="33"/>
      <c r="D52" s="34" t="str">
        <f>IF(H50&gt;0,H50," ")</f>
        <v xml:space="preserve"> </v>
      </c>
      <c r="E52" s="35"/>
      <c r="F52" s="35"/>
      <c r="G52" s="32" t="s">
        <v>27</v>
      </c>
      <c r="H52" s="36"/>
      <c r="I52" s="108" t="str">
        <f>IF(H50&lt;0,H50," ")</f>
        <v xml:space="preserve"> </v>
      </c>
      <c r="J52" s="108"/>
      <c r="K52" s="37"/>
    </row>
    <row r="53" spans="1:11" ht="8.25" customHeight="1" x14ac:dyDescent="0.25">
      <c r="B53" s="29"/>
      <c r="C53" s="6"/>
      <c r="D53" s="29"/>
      <c r="E53" s="29"/>
      <c r="F53" s="29"/>
      <c r="G53" s="29"/>
      <c r="H53" s="29"/>
      <c r="I53" s="29"/>
      <c r="K53" s="27"/>
    </row>
    <row r="54" spans="1:11" x14ac:dyDescent="0.25">
      <c r="B54" s="30" t="s">
        <v>30</v>
      </c>
      <c r="C54" s="95" t="str">
        <f>IF(B54="P","PRÓXIMO",IF(B54="C","CANCELADO"," "))</f>
        <v>CANCELADO</v>
      </c>
      <c r="D54" s="95"/>
      <c r="E54" s="28"/>
      <c r="F54" s="28"/>
      <c r="G54" s="28"/>
      <c r="H54" s="29"/>
      <c r="I54" s="29"/>
    </row>
    <row r="55" spans="1:11" x14ac:dyDescent="0.25">
      <c r="B55" s="101" t="s">
        <v>28</v>
      </c>
      <c r="C55" s="102"/>
      <c r="D55" s="102"/>
      <c r="E55" s="102"/>
      <c r="F55" s="102"/>
      <c r="G55" s="102"/>
      <c r="H55" s="18"/>
      <c r="I55" s="18"/>
      <c r="J55" s="26"/>
      <c r="K55" s="26"/>
    </row>
    <row r="56" spans="1:11" ht="24" customHeight="1" x14ac:dyDescent="0.25">
      <c r="B56" s="60" t="s">
        <v>31</v>
      </c>
      <c r="C56" s="60"/>
      <c r="D56" s="60"/>
      <c r="E56" s="7"/>
      <c r="F56" s="7"/>
      <c r="G56" s="7"/>
      <c r="H56" s="7"/>
      <c r="I56" s="7"/>
      <c r="J56" s="7"/>
    </row>
    <row r="57" spans="1:11" x14ac:dyDescent="0.25">
      <c r="B57" s="111"/>
      <c r="C57" s="111"/>
      <c r="D57" s="111"/>
      <c r="E57" s="111"/>
      <c r="F57" s="111"/>
      <c r="G57" s="111"/>
      <c r="H57" s="111"/>
      <c r="I57" s="111"/>
      <c r="J57" s="111"/>
    </row>
  </sheetData>
  <mergeCells count="131">
    <mergeCell ref="B57:J57"/>
    <mergeCell ref="A13:F13"/>
    <mergeCell ref="G33:H33"/>
    <mergeCell ref="G34:H34"/>
    <mergeCell ref="G17:H17"/>
    <mergeCell ref="G18:H18"/>
    <mergeCell ref="G19:H19"/>
    <mergeCell ref="G22:H22"/>
    <mergeCell ref="G25:H25"/>
    <mergeCell ref="G23:H23"/>
    <mergeCell ref="G24:H24"/>
    <mergeCell ref="G32:H32"/>
    <mergeCell ref="G29:H29"/>
    <mergeCell ref="G30:H30"/>
    <mergeCell ref="G31:H31"/>
    <mergeCell ref="G28:H28"/>
    <mergeCell ref="D27:F27"/>
    <mergeCell ref="A23:F23"/>
    <mergeCell ref="D24:F24"/>
    <mergeCell ref="D28:F28"/>
    <mergeCell ref="E30:F30"/>
    <mergeCell ref="E31:F31"/>
    <mergeCell ref="G27:H27"/>
    <mergeCell ref="G20:H20"/>
    <mergeCell ref="G21:H21"/>
    <mergeCell ref="G47:H47"/>
    <mergeCell ref="G48:H48"/>
    <mergeCell ref="D48:F48"/>
    <mergeCell ref="B49:G49"/>
    <mergeCell ref="H49:J49"/>
    <mergeCell ref="H50:J50"/>
    <mergeCell ref="C54:D54"/>
    <mergeCell ref="B55:G55"/>
    <mergeCell ref="I28:J28"/>
    <mergeCell ref="I29:J29"/>
    <mergeCell ref="I30:J30"/>
    <mergeCell ref="I23:J23"/>
    <mergeCell ref="I24:J24"/>
    <mergeCell ref="I25:J25"/>
    <mergeCell ref="I40:J40"/>
    <mergeCell ref="B50:G50"/>
    <mergeCell ref="I52:J52"/>
    <mergeCell ref="I45:J45"/>
    <mergeCell ref="I46:J46"/>
    <mergeCell ref="I47:J47"/>
    <mergeCell ref="I48:J48"/>
    <mergeCell ref="I41:J41"/>
    <mergeCell ref="I42:J42"/>
    <mergeCell ref="H10:J10"/>
    <mergeCell ref="H5:J5"/>
    <mergeCell ref="H6:J6"/>
    <mergeCell ref="C5:G5"/>
    <mergeCell ref="C6:G6"/>
    <mergeCell ref="C7:G7"/>
    <mergeCell ref="C8:G8"/>
    <mergeCell ref="C9:G9"/>
    <mergeCell ref="B10:G10"/>
    <mergeCell ref="G16:H16"/>
    <mergeCell ref="G14:H14"/>
    <mergeCell ref="I13:J13"/>
    <mergeCell ref="I14:J14"/>
    <mergeCell ref="I15:J15"/>
    <mergeCell ref="I16:J16"/>
    <mergeCell ref="I17:J17"/>
    <mergeCell ref="G40:H40"/>
    <mergeCell ref="G46:H46"/>
    <mergeCell ref="G41:H41"/>
    <mergeCell ref="G42:H42"/>
    <mergeCell ref="G43:H43"/>
    <mergeCell ref="G44:H44"/>
    <mergeCell ref="G45:H45"/>
    <mergeCell ref="G15:H15"/>
    <mergeCell ref="G13:H13"/>
    <mergeCell ref="G36:H36"/>
    <mergeCell ref="G39:H39"/>
    <mergeCell ref="G26:H26"/>
    <mergeCell ref="G38:H38"/>
    <mergeCell ref="G35:H35"/>
    <mergeCell ref="G37:H37"/>
    <mergeCell ref="I26:J26"/>
    <mergeCell ref="I27:J27"/>
    <mergeCell ref="I18:J18"/>
    <mergeCell ref="I19:J19"/>
    <mergeCell ref="I20:J20"/>
    <mergeCell ref="I21:J21"/>
    <mergeCell ref="I22:J22"/>
    <mergeCell ref="I36:J36"/>
    <mergeCell ref="I37:J37"/>
    <mergeCell ref="I38:J38"/>
    <mergeCell ref="I39:J39"/>
    <mergeCell ref="I31:J31"/>
    <mergeCell ref="I32:J32"/>
    <mergeCell ref="I33:J33"/>
    <mergeCell ref="I34:J34"/>
    <mergeCell ref="I35:J35"/>
    <mergeCell ref="B56:D56"/>
    <mergeCell ref="B2:C2"/>
    <mergeCell ref="D2:E2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5:F25"/>
    <mergeCell ref="D26:F26"/>
    <mergeCell ref="E32:F32"/>
    <mergeCell ref="E33:F33"/>
    <mergeCell ref="E34:F34"/>
    <mergeCell ref="E35:F35"/>
    <mergeCell ref="E36:F36"/>
    <mergeCell ref="B4:J4"/>
    <mergeCell ref="B12:J12"/>
    <mergeCell ref="H7:J7"/>
    <mergeCell ref="H8:J8"/>
    <mergeCell ref="H9:J9"/>
    <mergeCell ref="I43:J43"/>
    <mergeCell ref="I44:J44"/>
    <mergeCell ref="A45:F45"/>
    <mergeCell ref="D46:F46"/>
    <mergeCell ref="D47:F47"/>
    <mergeCell ref="E37:F37"/>
    <mergeCell ref="E38:F38"/>
    <mergeCell ref="E39:F39"/>
    <mergeCell ref="D41:F41"/>
    <mergeCell ref="D42:F42"/>
    <mergeCell ref="D43:F43"/>
    <mergeCell ref="D44:F44"/>
  </mergeCells>
  <dataValidations disablePrompts="1" count="1">
    <dataValidation type="custom" allowBlank="1" showInputMessage="1" showErrorMessage="1" sqref="B54" xr:uid="{E40668B9-B19A-4BA6-B5F4-5DDDF8ED36C8}">
      <formula1>OR(B54="P",B54="C",B54=" ")</formula1>
    </dataValidation>
  </dataValidations>
  <pageMargins left="0.45" right="0.12" top="0.24" bottom="0.12" header="0.12" footer="0.2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5005-EBA5-4A78-AB67-556499F50921}">
  <sheetPr>
    <pageSetUpPr fitToPage="1"/>
  </sheetPr>
  <dimension ref="A1:I3"/>
  <sheetViews>
    <sheetView topLeftCell="A6" zoomScale="110" zoomScaleNormal="110" workbookViewId="0">
      <selection activeCell="H32" sqref="H32"/>
    </sheetView>
  </sheetViews>
  <sheetFormatPr baseColWidth="10" defaultRowHeight="15" x14ac:dyDescent="0.25"/>
  <cols>
    <col min="1" max="1" width="5.140625" bestFit="1" customWidth="1"/>
    <col min="2" max="3" width="9.7109375" customWidth="1"/>
    <col min="4" max="4" width="13.85546875" customWidth="1"/>
    <col min="5" max="5" width="20.42578125" customWidth="1"/>
    <col min="6" max="6" width="16.28515625" customWidth="1"/>
    <col min="7" max="7" width="8.42578125" customWidth="1"/>
    <col min="8" max="8" width="13.85546875" customWidth="1"/>
  </cols>
  <sheetData>
    <row r="1" spans="1:9" ht="0.6" customHeight="1" x14ac:dyDescent="0.25">
      <c r="A1" s="3"/>
      <c r="B1" s="2"/>
      <c r="C1" s="2"/>
      <c r="D1" s="2"/>
      <c r="E1" s="2"/>
      <c r="F1" s="2"/>
      <c r="G1" s="2"/>
      <c r="H1" s="2"/>
    </row>
    <row r="2" spans="1:9" ht="0.6" customHeight="1" x14ac:dyDescent="0.25">
      <c r="A2" s="3"/>
      <c r="B2" s="2"/>
      <c r="C2" s="2"/>
      <c r="D2" s="2"/>
      <c r="E2" s="2"/>
      <c r="F2" s="2"/>
      <c r="G2" s="2"/>
      <c r="H2" s="2"/>
    </row>
    <row r="3" spans="1:9" s="2" customFormat="1" ht="15" customHeight="1" x14ac:dyDescent="0.25">
      <c r="A3" s="3"/>
      <c r="I3" s="3"/>
    </row>
  </sheetData>
  <pageMargins left="0.56000000000000005" right="0.12" top="0.25" bottom="0.12" header="0.21" footer="0.12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Política</vt:lpstr>
      <vt:lpstr>Hoja1!Área_de_impresión</vt:lpstr>
      <vt:lpstr>Política!Área_de_impresión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MRP</dc:creator>
  <cp:lastModifiedBy>Sebastian</cp:lastModifiedBy>
  <cp:lastPrinted>2022-12-28T18:51:47Z</cp:lastPrinted>
  <dcterms:created xsi:type="dcterms:W3CDTF">2015-11-17T18:23:35Z</dcterms:created>
  <dcterms:modified xsi:type="dcterms:W3CDTF">2023-05-04T20:32:27Z</dcterms:modified>
</cp:coreProperties>
</file>